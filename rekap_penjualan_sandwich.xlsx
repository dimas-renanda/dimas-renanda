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4">
    <font>
      <name val="Calibri"/>
      <family val="2"/>
      <color theme="1"/>
      <sz val="11"/>
      <scheme val="minor"/>
    </font>
    <font>
      <b val="1"/>
      <sz val="11"/>
    </font>
    <font>
      <i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3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0" customWidth="1" min="8" max="8"/>
    <col width="16" customWidth="1" min="9" max="9"/>
    <col width="15" customWidth="1" min="10" max="10"/>
    <col width="15" customWidth="1" min="11" max="11"/>
  </cols>
  <sheetData>
    <row r="1" ht="22" customHeight="1">
      <c r="A1" s="1" t="inlineStr">
        <is>
          <t>REKAP PENJUALAN SANDWICH</t>
        </is>
      </c>
    </row>
    <row r="2" ht="16" customHeight="1">
      <c r="A2" s="2" t="inlineStr">
        <is>
          <t>Bulan: ________________     Tahun: ________</t>
        </is>
      </c>
    </row>
    <row r="3" ht="16" customHeight="1">
      <c r="A3" s="3" t="inlineStr">
        <is>
          <t>Harga Jual: Rp 15.000  |  HPP: Rp 8.931,25  |  Profit/pcs: Rp 6.068,75  |  Margin: 40,5%</t>
        </is>
      </c>
    </row>
    <row r="4" ht="30" customHeight="1">
      <c r="A4" s="4" t="inlineStr">
        <is>
          <t>No</t>
        </is>
      </c>
      <c r="B4" s="4" t="inlineStr">
        <is>
          <t>Tanggal</t>
        </is>
      </c>
      <c r="C4" s="4" t="inlineStr">
        <is>
          <t>Nama</t>
        </is>
      </c>
      <c r="D4" s="4" t="inlineStr">
        <is>
          <t>Qty
CNC Sando</t>
        </is>
      </c>
      <c r="E4" s="4" t="inlineStr">
        <is>
          <t>Total
CNC Sando</t>
        </is>
      </c>
      <c r="F4" s="4" t="inlineStr">
        <is>
          <t>Qty
Milo Sando</t>
        </is>
      </c>
      <c r="G4" s="4" t="inlineStr">
        <is>
          <t>Total
Milo Sando</t>
        </is>
      </c>
      <c r="H4" s="4" t="inlineStr">
        <is>
          <t>Total
Qty</t>
        </is>
      </c>
      <c r="I4" s="4" t="inlineStr">
        <is>
          <t>Total
Penjualan</t>
        </is>
      </c>
      <c r="J4" s="4" t="inlineStr">
        <is>
          <t>Total
HPP</t>
        </is>
      </c>
      <c r="K4" s="4" t="inlineStr">
        <is>
          <t>Total
Profit</t>
        </is>
      </c>
    </row>
    <row r="5" ht="16" customHeight="1">
      <c r="A5" s="5" t="n">
        <v>1</v>
      </c>
      <c r="B5" s="5" t="inlineStr"/>
      <c r="C5" s="6" t="inlineStr">
        <is>
          <t>Mas Yusril</t>
        </is>
      </c>
      <c r="D5" s="7" t="n">
        <v>1</v>
      </c>
      <c r="E5" s="8">
        <f>D5*15000</f>
        <v/>
      </c>
      <c r="F5" s="7" t="n">
        <v>1</v>
      </c>
      <c r="G5" s="8">
        <f>F5*15000</f>
        <v/>
      </c>
      <c r="H5" s="9">
        <f>D5+F5</f>
        <v/>
      </c>
      <c r="I5" s="8">
        <f>E5+G5</f>
        <v/>
      </c>
      <c r="J5" s="8">
        <f>(D5+F5)*8931.25</f>
        <v/>
      </c>
      <c r="K5" s="10">
        <f>I5-J5</f>
        <v/>
      </c>
    </row>
    <row r="6" ht="16" customHeight="1">
      <c r="A6" s="5" t="n">
        <v>2</v>
      </c>
      <c r="B6" s="5" t="inlineStr"/>
      <c r="C6" s="6" t="inlineStr">
        <is>
          <t>Dita</t>
        </is>
      </c>
      <c r="D6" s="7" t="n">
        <v>0</v>
      </c>
      <c r="E6" s="8">
        <f>D6*15000</f>
        <v/>
      </c>
      <c r="F6" s="7" t="n">
        <v>1</v>
      </c>
      <c r="G6" s="8">
        <f>F6*15000</f>
        <v/>
      </c>
      <c r="H6" s="9">
        <f>D6+F6</f>
        <v/>
      </c>
      <c r="I6" s="8">
        <f>E6+G6</f>
        <v/>
      </c>
      <c r="J6" s="8">
        <f>(D6+F6)*8931.25</f>
        <v/>
      </c>
      <c r="K6" s="10">
        <f>I6-J6</f>
        <v/>
      </c>
    </row>
    <row r="7" ht="16" customHeight="1">
      <c r="A7" s="5" t="n">
        <v>3</v>
      </c>
      <c r="B7" s="5" t="inlineStr"/>
      <c r="C7" s="6" t="inlineStr">
        <is>
          <t>Gabriella</t>
        </is>
      </c>
      <c r="D7" s="7" t="n">
        <v>2</v>
      </c>
      <c r="E7" s="8">
        <f>D7*15000</f>
        <v/>
      </c>
      <c r="F7" s="7" t="n">
        <v>1</v>
      </c>
      <c r="G7" s="8">
        <f>F7*15000</f>
        <v/>
      </c>
      <c r="H7" s="9">
        <f>D7+F7</f>
        <v/>
      </c>
      <c r="I7" s="8">
        <f>E7+G7</f>
        <v/>
      </c>
      <c r="J7" s="8">
        <f>(D7+F7)*8931.25</f>
        <v/>
      </c>
      <c r="K7" s="10">
        <f>I7-J7</f>
        <v/>
      </c>
    </row>
    <row r="8" ht="16" customHeight="1">
      <c r="A8" s="5" t="n">
        <v>4</v>
      </c>
      <c r="B8" s="5" t="inlineStr"/>
      <c r="C8" s="6" t="inlineStr">
        <is>
          <t>Keysha</t>
        </is>
      </c>
      <c r="D8" s="7" t="n">
        <v>0</v>
      </c>
      <c r="E8" s="8">
        <f>D8*15000</f>
        <v/>
      </c>
      <c r="F8" s="7" t="n">
        <v>1</v>
      </c>
      <c r="G8" s="8">
        <f>F8*15000</f>
        <v/>
      </c>
      <c r="H8" s="9">
        <f>D8+F8</f>
        <v/>
      </c>
      <c r="I8" s="8">
        <f>E8+G8</f>
        <v/>
      </c>
      <c r="J8" s="8">
        <f>(D8+F8)*8931.25</f>
        <v/>
      </c>
      <c r="K8" s="10">
        <f>I8-J8</f>
        <v/>
      </c>
    </row>
    <row r="9" ht="16" customHeight="1">
      <c r="A9" s="5" t="n">
        <v>5</v>
      </c>
      <c r="B9" s="5" t="inlineStr"/>
      <c r="C9" s="6" t="inlineStr"/>
      <c r="D9" s="7" t="n">
        <v>0</v>
      </c>
      <c r="E9" s="8">
        <f>D9*15000</f>
        <v/>
      </c>
      <c r="F9" s="7" t="n">
        <v>0</v>
      </c>
      <c r="G9" s="8">
        <f>F9*15000</f>
        <v/>
      </c>
      <c r="H9" s="9">
        <f>D9+F9</f>
        <v/>
      </c>
      <c r="I9" s="8">
        <f>E9+G9</f>
        <v/>
      </c>
      <c r="J9" s="8">
        <f>(D9+F9)*8931.25</f>
        <v/>
      </c>
      <c r="K9" s="10">
        <f>I9-J9</f>
        <v/>
      </c>
    </row>
    <row r="10" ht="16" customHeight="1">
      <c r="A10" s="5" t="n">
        <v>6</v>
      </c>
      <c r="B10" s="5" t="inlineStr"/>
      <c r="C10" s="6" t="inlineStr"/>
      <c r="D10" s="7" t="n">
        <v>0</v>
      </c>
      <c r="E10" s="8">
        <f>D10*15000</f>
        <v/>
      </c>
      <c r="F10" s="7" t="n">
        <v>0</v>
      </c>
      <c r="G10" s="8">
        <f>F10*15000</f>
        <v/>
      </c>
      <c r="H10" s="9">
        <f>D10+F10</f>
        <v/>
      </c>
      <c r="I10" s="8">
        <f>E10+G10</f>
        <v/>
      </c>
      <c r="J10" s="8">
        <f>(D10+F10)*8931.25</f>
        <v/>
      </c>
      <c r="K10" s="10">
        <f>I10-J10</f>
        <v/>
      </c>
    </row>
    <row r="11" ht="16" customHeight="1">
      <c r="A11" s="5" t="n">
        <v>7</v>
      </c>
      <c r="B11" s="5" t="inlineStr"/>
      <c r="C11" s="6" t="inlineStr"/>
      <c r="D11" s="7" t="n">
        <v>0</v>
      </c>
      <c r="E11" s="8">
        <f>D11*15000</f>
        <v/>
      </c>
      <c r="F11" s="7" t="n">
        <v>0</v>
      </c>
      <c r="G11" s="8">
        <f>F11*15000</f>
        <v/>
      </c>
      <c r="H11" s="9">
        <f>D11+F11</f>
        <v/>
      </c>
      <c r="I11" s="8">
        <f>E11+G11</f>
        <v/>
      </c>
      <c r="J11" s="8">
        <f>(D11+F11)*8931.25</f>
        <v/>
      </c>
      <c r="K11" s="10">
        <f>I11-J11</f>
        <v/>
      </c>
    </row>
    <row r="12" ht="16" customHeight="1">
      <c r="A12" s="5" t="n">
        <v>8</v>
      </c>
      <c r="B12" s="5" t="inlineStr"/>
      <c r="C12" s="6" t="inlineStr"/>
      <c r="D12" s="7" t="n">
        <v>0</v>
      </c>
      <c r="E12" s="8">
        <f>D12*15000</f>
        <v/>
      </c>
      <c r="F12" s="7" t="n">
        <v>0</v>
      </c>
      <c r="G12" s="8">
        <f>F12*15000</f>
        <v/>
      </c>
      <c r="H12" s="9">
        <f>D12+F12</f>
        <v/>
      </c>
      <c r="I12" s="8">
        <f>E12+G12</f>
        <v/>
      </c>
      <c r="J12" s="8">
        <f>(D12+F12)*8931.25</f>
        <v/>
      </c>
      <c r="K12" s="10">
        <f>I12-J12</f>
        <v/>
      </c>
    </row>
    <row r="13" ht="16" customHeight="1">
      <c r="A13" s="5" t="n">
        <v>9</v>
      </c>
      <c r="B13" s="5" t="inlineStr"/>
      <c r="C13" s="6" t="inlineStr"/>
      <c r="D13" s="7" t="n">
        <v>0</v>
      </c>
      <c r="E13" s="8">
        <f>D13*15000</f>
        <v/>
      </c>
      <c r="F13" s="7" t="n">
        <v>0</v>
      </c>
      <c r="G13" s="8">
        <f>F13*15000</f>
        <v/>
      </c>
      <c r="H13" s="9">
        <f>D13+F13</f>
        <v/>
      </c>
      <c r="I13" s="8">
        <f>E13+G13</f>
        <v/>
      </c>
      <c r="J13" s="8">
        <f>(D13+F13)*8931.25</f>
        <v/>
      </c>
      <c r="K13" s="10">
        <f>I13-J13</f>
        <v/>
      </c>
    </row>
    <row r="14" ht="16" customHeight="1">
      <c r="A14" s="5" t="n">
        <v>10</v>
      </c>
      <c r="B14" s="5" t="inlineStr"/>
      <c r="C14" s="6" t="inlineStr"/>
      <c r="D14" s="7" t="n">
        <v>0</v>
      </c>
      <c r="E14" s="8">
        <f>D14*15000</f>
        <v/>
      </c>
      <c r="F14" s="7" t="n">
        <v>0</v>
      </c>
      <c r="G14" s="8">
        <f>F14*15000</f>
        <v/>
      </c>
      <c r="H14" s="9">
        <f>D14+F14</f>
        <v/>
      </c>
      <c r="I14" s="8">
        <f>E14+G14</f>
        <v/>
      </c>
      <c r="J14" s="8">
        <f>(D14+F14)*8931.25</f>
        <v/>
      </c>
      <c r="K14" s="10">
        <f>I14-J14</f>
        <v/>
      </c>
    </row>
    <row r="15" ht="16" customHeight="1">
      <c r="A15" s="5" t="n">
        <v>11</v>
      </c>
      <c r="B15" s="5" t="inlineStr"/>
      <c r="C15" s="6" t="inlineStr"/>
      <c r="D15" s="7" t="n">
        <v>0</v>
      </c>
      <c r="E15" s="8">
        <f>D15*15000</f>
        <v/>
      </c>
      <c r="F15" s="7" t="n">
        <v>0</v>
      </c>
      <c r="G15" s="8">
        <f>F15*15000</f>
        <v/>
      </c>
      <c r="H15" s="9">
        <f>D15+F15</f>
        <v/>
      </c>
      <c r="I15" s="8">
        <f>E15+G15</f>
        <v/>
      </c>
      <c r="J15" s="8">
        <f>(D15+F15)*8931.25</f>
        <v/>
      </c>
      <c r="K15" s="10">
        <f>I15-J15</f>
        <v/>
      </c>
    </row>
    <row r="16" ht="16" customHeight="1">
      <c r="A16" s="5" t="n">
        <v>12</v>
      </c>
      <c r="B16" s="5" t="inlineStr"/>
      <c r="C16" s="6" t="inlineStr"/>
      <c r="D16" s="7" t="n">
        <v>0</v>
      </c>
      <c r="E16" s="8">
        <f>D16*15000</f>
        <v/>
      </c>
      <c r="F16" s="7" t="n">
        <v>0</v>
      </c>
      <c r="G16" s="8">
        <f>F16*15000</f>
        <v/>
      </c>
      <c r="H16" s="9">
        <f>D16+F16</f>
        <v/>
      </c>
      <c r="I16" s="8">
        <f>E16+G16</f>
        <v/>
      </c>
      <c r="J16" s="8">
        <f>(D16+F16)*8931.25</f>
        <v/>
      </c>
      <c r="K16" s="10">
        <f>I16-J16</f>
        <v/>
      </c>
    </row>
    <row r="17" ht="16" customHeight="1">
      <c r="A17" s="5" t="n">
        <v>13</v>
      </c>
      <c r="B17" s="5" t="inlineStr"/>
      <c r="C17" s="6" t="inlineStr"/>
      <c r="D17" s="7" t="n">
        <v>0</v>
      </c>
      <c r="E17" s="8">
        <f>D17*15000</f>
        <v/>
      </c>
      <c r="F17" s="7" t="n">
        <v>0</v>
      </c>
      <c r="G17" s="8">
        <f>F17*15000</f>
        <v/>
      </c>
      <c r="H17" s="9">
        <f>D17+F17</f>
        <v/>
      </c>
      <c r="I17" s="8">
        <f>E17+G17</f>
        <v/>
      </c>
      <c r="J17" s="8">
        <f>(D17+F17)*8931.25</f>
        <v/>
      </c>
      <c r="K17" s="10">
        <f>I17-J17</f>
        <v/>
      </c>
    </row>
    <row r="18" ht="16" customHeight="1">
      <c r="A18" s="5" t="n">
        <v>14</v>
      </c>
      <c r="B18" s="5" t="inlineStr"/>
      <c r="C18" s="6" t="inlineStr"/>
      <c r="D18" s="7" t="n">
        <v>0</v>
      </c>
      <c r="E18" s="8">
        <f>D18*15000</f>
        <v/>
      </c>
      <c r="F18" s="7" t="n">
        <v>0</v>
      </c>
      <c r="G18" s="8">
        <f>F18*15000</f>
        <v/>
      </c>
      <c r="H18" s="9">
        <f>D18+F18</f>
        <v/>
      </c>
      <c r="I18" s="8">
        <f>E18+G18</f>
        <v/>
      </c>
      <c r="J18" s="8">
        <f>(D18+F18)*8931.25</f>
        <v/>
      </c>
      <c r="K18" s="10">
        <f>I18-J18</f>
        <v/>
      </c>
    </row>
    <row r="19" ht="16" customHeight="1">
      <c r="A19" s="5" t="n">
        <v>15</v>
      </c>
      <c r="B19" s="5" t="inlineStr"/>
      <c r="C19" s="6" t="inlineStr"/>
      <c r="D19" s="7" t="n">
        <v>0</v>
      </c>
      <c r="E19" s="8">
        <f>D19*15000</f>
        <v/>
      </c>
      <c r="F19" s="7" t="n">
        <v>0</v>
      </c>
      <c r="G19" s="8">
        <f>F19*15000</f>
        <v/>
      </c>
      <c r="H19" s="9">
        <f>D19+F19</f>
        <v/>
      </c>
      <c r="I19" s="8">
        <f>E19+G19</f>
        <v/>
      </c>
      <c r="J19" s="8">
        <f>(D19+F19)*8931.25</f>
        <v/>
      </c>
      <c r="K19" s="10">
        <f>I19-J19</f>
        <v/>
      </c>
    </row>
    <row r="20" ht="16" customHeight="1">
      <c r="A20" s="5" t="n">
        <v>16</v>
      </c>
      <c r="B20" s="5" t="inlineStr"/>
      <c r="C20" s="6" t="inlineStr"/>
      <c r="D20" s="7" t="n">
        <v>0</v>
      </c>
      <c r="E20" s="8">
        <f>D20*15000</f>
        <v/>
      </c>
      <c r="F20" s="7" t="n">
        <v>0</v>
      </c>
      <c r="G20" s="8">
        <f>F20*15000</f>
        <v/>
      </c>
      <c r="H20" s="9">
        <f>D20+F20</f>
        <v/>
      </c>
      <c r="I20" s="8">
        <f>E20+G20</f>
        <v/>
      </c>
      <c r="J20" s="8">
        <f>(D20+F20)*8931.25</f>
        <v/>
      </c>
      <c r="K20" s="10">
        <f>I20-J20</f>
        <v/>
      </c>
    </row>
    <row r="21" ht="16" customHeight="1">
      <c r="A21" s="5" t="n">
        <v>17</v>
      </c>
      <c r="B21" s="5" t="inlineStr"/>
      <c r="C21" s="6" t="inlineStr"/>
      <c r="D21" s="7" t="n">
        <v>0</v>
      </c>
      <c r="E21" s="8">
        <f>D21*15000</f>
        <v/>
      </c>
      <c r="F21" s="7" t="n">
        <v>0</v>
      </c>
      <c r="G21" s="8">
        <f>F21*15000</f>
        <v/>
      </c>
      <c r="H21" s="9">
        <f>D21+F21</f>
        <v/>
      </c>
      <c r="I21" s="8">
        <f>E21+G21</f>
        <v/>
      </c>
      <c r="J21" s="8">
        <f>(D21+F21)*8931.25</f>
        <v/>
      </c>
      <c r="K21" s="10">
        <f>I21-J21</f>
        <v/>
      </c>
    </row>
    <row r="22" ht="16" customHeight="1">
      <c r="A22" s="5" t="n">
        <v>18</v>
      </c>
      <c r="B22" s="5" t="inlineStr"/>
      <c r="C22" s="6" t="inlineStr"/>
      <c r="D22" s="7" t="n">
        <v>0</v>
      </c>
      <c r="E22" s="8">
        <f>D22*15000</f>
        <v/>
      </c>
      <c r="F22" s="7" t="n">
        <v>0</v>
      </c>
      <c r="G22" s="8">
        <f>F22*15000</f>
        <v/>
      </c>
      <c r="H22" s="9">
        <f>D22+F22</f>
        <v/>
      </c>
      <c r="I22" s="8">
        <f>E22+G22</f>
        <v/>
      </c>
      <c r="J22" s="8">
        <f>(D22+F22)*8931.25</f>
        <v/>
      </c>
      <c r="K22" s="10">
        <f>I22-J22</f>
        <v/>
      </c>
    </row>
    <row r="23" ht="16" customHeight="1">
      <c r="A23" s="5" t="n">
        <v>19</v>
      </c>
      <c r="B23" s="5" t="inlineStr"/>
      <c r="C23" s="6" t="inlineStr"/>
      <c r="D23" s="7" t="n">
        <v>0</v>
      </c>
      <c r="E23" s="8">
        <f>D23*15000</f>
        <v/>
      </c>
      <c r="F23" s="7" t="n">
        <v>0</v>
      </c>
      <c r="G23" s="8">
        <f>F23*15000</f>
        <v/>
      </c>
      <c r="H23" s="9">
        <f>D23+F23</f>
        <v/>
      </c>
      <c r="I23" s="8">
        <f>E23+G23</f>
        <v/>
      </c>
      <c r="J23" s="8">
        <f>(D23+F23)*8931.25</f>
        <v/>
      </c>
      <c r="K23" s="10">
        <f>I23-J23</f>
        <v/>
      </c>
    </row>
    <row r="24" ht="16" customHeight="1">
      <c r="A24" s="5" t="n">
        <v>20</v>
      </c>
      <c r="B24" s="5" t="inlineStr"/>
      <c r="C24" s="6" t="inlineStr"/>
      <c r="D24" s="7" t="n">
        <v>0</v>
      </c>
      <c r="E24" s="8">
        <f>D24*15000</f>
        <v/>
      </c>
      <c r="F24" s="7" t="n">
        <v>0</v>
      </c>
      <c r="G24" s="8">
        <f>F24*15000</f>
        <v/>
      </c>
      <c r="H24" s="9">
        <f>D24+F24</f>
        <v/>
      </c>
      <c r="I24" s="8">
        <f>E24+G24</f>
        <v/>
      </c>
      <c r="J24" s="8">
        <f>(D24+F24)*8931.25</f>
        <v/>
      </c>
      <c r="K24" s="10">
        <f>I24-J24</f>
        <v/>
      </c>
    </row>
    <row r="25" ht="16" customHeight="1">
      <c r="A25" s="5" t="n">
        <v>21</v>
      </c>
      <c r="B25" s="5" t="inlineStr"/>
      <c r="C25" s="6" t="inlineStr"/>
      <c r="D25" s="7" t="n">
        <v>0</v>
      </c>
      <c r="E25" s="8">
        <f>D25*15000</f>
        <v/>
      </c>
      <c r="F25" s="7" t="n">
        <v>0</v>
      </c>
      <c r="G25" s="8">
        <f>F25*15000</f>
        <v/>
      </c>
      <c r="H25" s="9">
        <f>D25+F25</f>
        <v/>
      </c>
      <c r="I25" s="8">
        <f>E25+G25</f>
        <v/>
      </c>
      <c r="J25" s="8">
        <f>(D25+F25)*8931.25</f>
        <v/>
      </c>
      <c r="K25" s="10">
        <f>I25-J25</f>
        <v/>
      </c>
    </row>
    <row r="26" ht="16" customHeight="1">
      <c r="A26" s="5" t="n">
        <v>22</v>
      </c>
      <c r="B26" s="5" t="inlineStr"/>
      <c r="C26" s="6" t="inlineStr"/>
      <c r="D26" s="7" t="n">
        <v>0</v>
      </c>
      <c r="E26" s="8">
        <f>D26*15000</f>
        <v/>
      </c>
      <c r="F26" s="7" t="n">
        <v>0</v>
      </c>
      <c r="G26" s="8">
        <f>F26*15000</f>
        <v/>
      </c>
      <c r="H26" s="9">
        <f>D26+F26</f>
        <v/>
      </c>
      <c r="I26" s="8">
        <f>E26+G26</f>
        <v/>
      </c>
      <c r="J26" s="8">
        <f>(D26+F26)*8931.25</f>
        <v/>
      </c>
      <c r="K26" s="10">
        <f>I26-J26</f>
        <v/>
      </c>
    </row>
    <row r="27" ht="16" customHeight="1">
      <c r="A27" s="5" t="n">
        <v>23</v>
      </c>
      <c r="B27" s="5" t="inlineStr"/>
      <c r="C27" s="6" t="inlineStr"/>
      <c r="D27" s="7" t="n">
        <v>0</v>
      </c>
      <c r="E27" s="8">
        <f>D27*15000</f>
        <v/>
      </c>
      <c r="F27" s="7" t="n">
        <v>0</v>
      </c>
      <c r="G27" s="8">
        <f>F27*15000</f>
        <v/>
      </c>
      <c r="H27" s="9">
        <f>D27+F27</f>
        <v/>
      </c>
      <c r="I27" s="8">
        <f>E27+G27</f>
        <v/>
      </c>
      <c r="J27" s="8">
        <f>(D27+F27)*8931.25</f>
        <v/>
      </c>
      <c r="K27" s="10">
        <f>I27-J27</f>
        <v/>
      </c>
    </row>
    <row r="28" ht="16" customHeight="1">
      <c r="A28" s="5" t="n">
        <v>24</v>
      </c>
      <c r="B28" s="5" t="inlineStr"/>
      <c r="C28" s="6" t="inlineStr"/>
      <c r="D28" s="7" t="n">
        <v>0</v>
      </c>
      <c r="E28" s="8">
        <f>D28*15000</f>
        <v/>
      </c>
      <c r="F28" s="7" t="n">
        <v>0</v>
      </c>
      <c r="G28" s="8">
        <f>F28*15000</f>
        <v/>
      </c>
      <c r="H28" s="9">
        <f>D28+F28</f>
        <v/>
      </c>
      <c r="I28" s="8">
        <f>E28+G28</f>
        <v/>
      </c>
      <c r="J28" s="8">
        <f>(D28+F28)*8931.25</f>
        <v/>
      </c>
      <c r="K28" s="10">
        <f>I28-J28</f>
        <v/>
      </c>
    </row>
    <row r="29" ht="16" customHeight="1">
      <c r="A29" s="5" t="n">
        <v>25</v>
      </c>
      <c r="B29" s="5" t="inlineStr"/>
      <c r="C29" s="6" t="inlineStr"/>
      <c r="D29" s="7" t="n">
        <v>0</v>
      </c>
      <c r="E29" s="8">
        <f>D29*15000</f>
        <v/>
      </c>
      <c r="F29" s="7" t="n">
        <v>0</v>
      </c>
      <c r="G29" s="8">
        <f>F29*15000</f>
        <v/>
      </c>
      <c r="H29" s="9">
        <f>D29+F29</f>
        <v/>
      </c>
      <c r="I29" s="8">
        <f>E29+G29</f>
        <v/>
      </c>
      <c r="J29" s="8">
        <f>(D29+F29)*8931.25</f>
        <v/>
      </c>
      <c r="K29" s="10">
        <f>I29-J29</f>
        <v/>
      </c>
    </row>
    <row r="30" ht="16" customHeight="1">
      <c r="A30" s="5" t="n">
        <v>26</v>
      </c>
      <c r="B30" s="5" t="inlineStr"/>
      <c r="C30" s="6" t="inlineStr"/>
      <c r="D30" s="7" t="n">
        <v>0</v>
      </c>
      <c r="E30" s="8">
        <f>D30*15000</f>
        <v/>
      </c>
      <c r="F30" s="7" t="n">
        <v>0</v>
      </c>
      <c r="G30" s="8">
        <f>F30*15000</f>
        <v/>
      </c>
      <c r="H30" s="9">
        <f>D30+F30</f>
        <v/>
      </c>
      <c r="I30" s="8">
        <f>E30+G30</f>
        <v/>
      </c>
      <c r="J30" s="8">
        <f>(D30+F30)*8931.25</f>
        <v/>
      </c>
      <c r="K30" s="10">
        <f>I30-J30</f>
        <v/>
      </c>
    </row>
    <row r="31" ht="16" customHeight="1">
      <c r="A31" s="5" t="n">
        <v>27</v>
      </c>
      <c r="B31" s="5" t="inlineStr"/>
      <c r="C31" s="6" t="inlineStr"/>
      <c r="D31" s="7" t="n">
        <v>0</v>
      </c>
      <c r="E31" s="8">
        <f>D31*15000</f>
        <v/>
      </c>
      <c r="F31" s="7" t="n">
        <v>0</v>
      </c>
      <c r="G31" s="8">
        <f>F31*15000</f>
        <v/>
      </c>
      <c r="H31" s="9">
        <f>D31+F31</f>
        <v/>
      </c>
      <c r="I31" s="8">
        <f>E31+G31</f>
        <v/>
      </c>
      <c r="J31" s="8">
        <f>(D31+F31)*8931.25</f>
        <v/>
      </c>
      <c r="K31" s="10">
        <f>I31-J31</f>
        <v/>
      </c>
    </row>
    <row r="32" ht="16" customHeight="1">
      <c r="A32" s="5" t="n">
        <v>28</v>
      </c>
      <c r="B32" s="5" t="inlineStr"/>
      <c r="C32" s="6" t="inlineStr"/>
      <c r="D32" s="7" t="n">
        <v>0</v>
      </c>
      <c r="E32" s="8">
        <f>D32*15000</f>
        <v/>
      </c>
      <c r="F32" s="7" t="n">
        <v>0</v>
      </c>
      <c r="G32" s="8">
        <f>F32*15000</f>
        <v/>
      </c>
      <c r="H32" s="9">
        <f>D32+F32</f>
        <v/>
      </c>
      <c r="I32" s="8">
        <f>E32+G32</f>
        <v/>
      </c>
      <c r="J32" s="8">
        <f>(D32+F32)*8931.25</f>
        <v/>
      </c>
      <c r="K32" s="10">
        <f>I32-J32</f>
        <v/>
      </c>
    </row>
    <row r="33" ht="16" customHeight="1">
      <c r="A33" s="5" t="n">
        <v>29</v>
      </c>
      <c r="B33" s="5" t="inlineStr"/>
      <c r="C33" s="6" t="inlineStr"/>
      <c r="D33" s="7" t="n">
        <v>0</v>
      </c>
      <c r="E33" s="8">
        <f>D33*15000</f>
        <v/>
      </c>
      <c r="F33" s="7" t="n">
        <v>0</v>
      </c>
      <c r="G33" s="8">
        <f>F33*15000</f>
        <v/>
      </c>
      <c r="H33" s="9">
        <f>D33+F33</f>
        <v/>
      </c>
      <c r="I33" s="8">
        <f>E33+G33</f>
        <v/>
      </c>
      <c r="J33" s="8">
        <f>(D33+F33)*8931.25</f>
        <v/>
      </c>
      <c r="K33" s="10">
        <f>I33-J33</f>
        <v/>
      </c>
    </row>
    <row r="34" ht="16" customHeight="1">
      <c r="A34" s="5" t="n">
        <v>30</v>
      </c>
      <c r="B34" s="5" t="inlineStr"/>
      <c r="C34" s="6" t="inlineStr"/>
      <c r="D34" s="7" t="n">
        <v>0</v>
      </c>
      <c r="E34" s="8">
        <f>D34*15000</f>
        <v/>
      </c>
      <c r="F34" s="7" t="n">
        <v>0</v>
      </c>
      <c r="G34" s="8">
        <f>F34*15000</f>
        <v/>
      </c>
      <c r="H34" s="9">
        <f>D34+F34</f>
        <v/>
      </c>
      <c r="I34" s="8">
        <f>E34+G34</f>
        <v/>
      </c>
      <c r="J34" s="8">
        <f>(D34+F34)*8931.25</f>
        <v/>
      </c>
      <c r="K34" s="10">
        <f>I34-J34</f>
        <v/>
      </c>
    </row>
    <row r="35" ht="20" customHeight="1">
      <c r="A35" s="4" t="inlineStr">
        <is>
          <t>TOTAL</t>
        </is>
      </c>
      <c r="D35" s="11">
        <f>SUM(D5:D34)</f>
        <v/>
      </c>
      <c r="E35" s="12">
        <f>SUM(E5:E34)</f>
        <v/>
      </c>
      <c r="F35" s="11">
        <f>SUM(F5:F34)</f>
        <v/>
      </c>
      <c r="G35" s="12">
        <f>SUM(G5:G34)</f>
        <v/>
      </c>
      <c r="H35" s="11">
        <f>SUM(H5:H34)</f>
        <v/>
      </c>
      <c r="I35" s="12">
        <f>SUM(I5:I34)</f>
        <v/>
      </c>
      <c r="J35" s="12">
        <f>SUM(J5:J34)</f>
        <v/>
      </c>
      <c r="K35" s="12">
        <f>SUM(K5:K34)</f>
        <v/>
      </c>
    </row>
  </sheetData>
  <mergeCells count="4">
    <mergeCell ref="A2:K2"/>
    <mergeCell ref="A1:K1"/>
    <mergeCell ref="A35:C35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2026-05-07T15:34:32Z</dcterms:created>
  <dcterms:modified xsi:type="dcterms:W3CDTF">2026-05-07T15:34:32Z</dcterms:modified>
</cp:coreProperties>
</file>